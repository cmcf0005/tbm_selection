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86b0f0ea3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8c39521fd44085"/>
  </x:sheets>
</x:workbook>
</file>

<file path=xl/sharedStrings.xml><?xml version="1.0" encoding="utf-8"?>
<x:sst xmlns:x="http://schemas.openxmlformats.org/spreadsheetml/2006/main">
  <x:si>
    <x:t xml:space="preserve">Sieve Size (mm)</x:t>
  </x:si>
  <x:si>
    <x:t xml:space="preserve">Mass Retained (g)</x:t>
  </x:si>
  <x:si>
    <x:t xml:space="preserve">Cumulative Mass Retained (g)</x:t>
  </x:si>
  <x:si>
    <x:t xml:space="preserve">Cumulative Percentage Retained (%)</x:t>
  </x:si>
  <x:si>
    <x:t xml:space="preserve">Percentage Finer (%)</x:t>
  </x:si>
  <x:si>
    <x:t xml:space="preserve">Liquid Limit</x:t>
  </x:si>
  <x:si>
    <x:t xml:space="preserve">Plasticity Index</x:t>
  </x:si>
  <x:si>
    <x:t xml:space="preserve">Permeability (m/s)</x:t>
  </x:si>
  <x:si>
    <x:t xml:space="preserve">Consistency Index</x:t>
  </x:si>
  <x:si>
    <x:t xml:space="preserve">Relative Density (%)</x:t>
  </x:si>
  <x:si>
    <x:t xml:space="preserve">Confinement Pressure (kPa)</x:t>
  </x:si>
  <x:si>
    <x:t xml:space="preserve">Abrasivity (%)</x:t>
  </x:si>
</x:sst>
</file>

<file path=xl/styles.xml><?xml version="1.0" encoding="utf-8"?>
<x:styleSheet xmlns:x="http://schemas.openxmlformats.org/spreadsheetml/2006/main">
  <x:numFmts count="3">
    <x:numFmt numFmtId="164" formatCode="0E+00"/>
    <x:numFmt numFmtId="200" formatCode="0.###"/>
    <x:numFmt numFmtId="201" formatCode="0.####"/>
  </x:numFmts>
  <x:fonts count="5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  <x:font>
      <x:i/>
      <x:sz val="11"/>
      <x:color theme="1"/>
      <x:name val="Aptos Narrow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F3F8EE"/>
      </x:patternFill>
    </x:fill>
    <x:fill>
      <x:patternFill patternType="solid">
        <x:fgColor rgb="FFE4DFEC"/>
      </x:patternFill>
    </x:fill>
    <x:fill>
      <x:patternFill patternType="solid">
        <x:fgColor rgb="FFF5F2F8"/>
      </x:patternFill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9E480E"/>
      </x:patternFill>
    </x:fill>
    <x:fill>
      <x:patternFill patternType="solid">
        <x:fgColor rgb="FF9E480E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">
    <x:border/>
    <x:border/>
  </x:borders>
  <x:cellStyleXfs count="2">
    <x:xf numFmtId="0" fontId="0" fillId="0" borderId="0"/>
    <x:xf numFmtId="9" fontId="1" fillId="0" borderId="0" applyFont="0" applyFill="0" applyBorder="0" applyAlignment="0" applyProtection="0"/>
  </x:cellStyleXfs>
  <x:cellXfs count="81">
    <x:xf numFmtId="0" fontId="0" fillId="0" borderId="0" xfId="0"/>
    <x:xf numFmtId="10" fontId="0" fillId="0" borderId="0" xfId="1" applyNumberFormat="1" applyFont="1" applyFill="1" applyBorder="1"/>
    <x:xf numFmtId="10" fontId="0" fillId="0" borderId="0" xfId="0" applyNumberFormat="1"/>
    <x:xf numFmtId="164" fontId="0" fillId="0" borderId="0" xfId="0" applyNumberFormat="1"/>
    <x:xf numFmtId="10" fontId="0" fillId="0" borderId="0" xfId="1" applyNumberFormat="1" applyFont="1" applyBorder="1"/>
    <x:xf numFmtId="0" fontId="0" fillId="0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1" applyNumberFormat="1" applyFont="1" applyBorder="1"/>
    <x:xf numFmtId="9" fontId="0" fillId="0" borderId="0" xfId="1" applyFont="1" applyBorder="1"/>
    <x:xf numFmtId="0" fontId="0" fillId="0" borderId="1" xfId="0" applyNumberFormat="1" applyFont="1" applyFill="1" applyBorder="1"/>
    <x:xf numFmtId="10" fontId="0" fillId="0" borderId="1" xfId="0" applyNumberFormat="1" applyFont="1" applyFill="1" applyBorder="1"/>
    <x:xf numFmtId="164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9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1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10" fontId="0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 applyAlignment="1">
      <x:alignment vertical="center"/>
    </x:xf>
    <x:xf numFmtId="1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9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9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200" fontId="0" fillId="9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</x:cellXfs>
  <x:cellStyles count="2">
    <x:cellStyle name="Normal" xfId="0"/>
    <x:cellStyle name="Percen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034a6d97b4ea6" /><Relationship Type="http://schemas.openxmlformats.org/officeDocument/2006/relationships/theme" Target="/xl/theme/theme1.xml" Id="R4bb68fbd1e60441c" /><Relationship Type="http://schemas.openxmlformats.org/officeDocument/2006/relationships/sharedStrings" Target="/xl/sharedStrings.xml" Id="Rcfafd68658fc4fe4" /><Relationship Type="http://schemas.openxmlformats.org/officeDocument/2006/relationships/worksheet" Target="/xl/worksheets/sheet1.xml" Id="Rc08c39521fd440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6" hidden="0" customWidth="1"/>
    <x:col min="7" max="7" width="3" hidden="0" customWidth="1"/>
    <x:col min="17" max="17" width="3" hidden="0" customWidth="1"/>
    <x:col min="18" max="18" width="18" hidden="0" customWidth="1"/>
    <x:col min="19" max="19" width="17" hidden="0" customWidth="1"/>
    <x:col min="20" max="20" width="16" hidden="0" customWidth="1"/>
    <x:col min="21" max="21" width="23" hidden="0" customWidth="1"/>
    <x:col min="22" max="22" width="10" hidden="0" customWidth="1"/>
    <x:col min="23" max="23" width="22" hidden="0" customWidth="1"/>
    <x:col min="24" max="24" width="17" hidden="0" customWidth="1"/>
    <x:col min="25" max="25" width="17" hidden="0" customWidth="1"/>
    <x:col min="26" max="26" width="18" hidden="0" customWidth="1"/>
    <x:col min="27" max="27" width="17" hidden="0" customWidth="1"/>
    <x:col min="28" max="28" width="17" hidden="0" customWidth="1"/>
    <x:col min="29" max="29" width="19" hidden="0" customWidth="1"/>
    <x:col min="30" max="30" width="17" hidden="0" customWidth="1"/>
    <x:col min="31" max="31" width="26" hidden="0" customWidth="1"/>
    <x:col min="32" max="32" width="20" hidden="0" customWidth="1"/>
    <x:col min="33" max="33" width="17" hidden="0" customWidth="1"/>
    <x:col min="34" max="34" width="14" hidden="0" customWidth="1"/>
    <x:col min="35" max="35" width="12" hidden="0" customWidth="1"/>
    <x:col min="36" max="36" width="12" hidden="0" customWidth="1"/>
    <x:col min="6" max="6" width="3" hidden="0" customWidth="1"/>
    <x:col min="10" max="10" width="3" hidden="0" customWidth="1"/>
    <x:col min="2" max="2" width="18" hidden="0" customWidth="1"/>
    <x:col min="3" max="3" width="21" hidden="0" customWidth="1"/>
    <x:col min="4" max="4" width="24" hidden="0" customWidth="1"/>
    <x:col min="5" max="5" width="19" hidden="0" customWidth="1"/>
    <x:col min="8" max="8" width="15" hidden="0" customWidth="1"/>
    <x:col min="9" max="9" width="17" hidden="0" customWidth="1"/>
    <x:col min="11" max="11" width="19" hidden="0" customWidth="1"/>
    <x:col min="12" max="12" width="18" hidden="0" customWidth="1"/>
    <x:col min="13" max="13" width="19" hidden="0" customWidth="1"/>
    <x:col min="14" max="14" width="24" hidden="0" customWidth="1"/>
    <x:col min="15" max="15" width="18" hidden="0" customWidth="1"/>
    <x:col min="16" max="16" width="22" hidden="0" customWidth="1"/>
    <x:col min="37" max="37" width="26" hidden="0" customWidth="1"/>
    <x:col min="38" max="38" width="12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20" hidden="0" customWidth="1"/>
    <x:col min="50" max="50" width="20" hidden="0" customWidth="1"/>
    <x:col min="51" max="51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</x:cols>
  <x:sheetData>
    <x:row r="1" ht="42" customHeight="1">
      <x:c r="A1" s="51" t="s">
        <x:v>0</x:v>
      </x:c>
      <x:c r="B1" s="51" t="s">
        <x:v>1</x:v>
      </x:c>
      <x:c r="C1" s="51" t="s">
        <x:v>2</x:v>
      </x:c>
      <x:c r="D1" s="51" t="s">
        <x:v>3</x:v>
      </x:c>
      <x:c r="E1" s="51" t="s">
        <x:v>4</x:v>
      </x:c>
      <x:c r="F1" s="35"/>
      <x:c r="G1" s="35"/>
      <x:c r="H1" s="52" t="s">
        <x:v>5</x:v>
      </x:c>
      <x:c r="I1" s="52" t="s">
        <x:v>6</x:v>
      </x:c>
      <x:c r="J1" s="35"/>
      <x:c r="K1" s="53" t="s">
        <x:v>7</x:v>
      </x:c>
      <x:c r="L1" s="53" t="s">
        <x:v>8</x:v>
      </x:c>
      <x:c r="M1" s="53" t="s">
        <x:v>9</x:v>
      </x:c>
      <x:c r="N1" s="53" t="s">
        <x:v>10</x:v>
      </x:c>
      <x:c r="O1" s="53" t="str">
        <x:v>Swelling Potential</x:v>
      </x:c>
      <x:c r="P1" s="53" t="s">
        <x:v>11</x:v>
      </x:c>
      <x:c r="Q1" s="35"/>
      <x:c r="R1" s="54" t="str">
        <x:v>Tunnel Diameter (m)</x:v>
      </x:c>
      <x:c r="S1" s="54" t="str">
        <x:v>Tunnel Depth (m)</x:v>
      </x:c>
      <x:c r="T1" s="54" t="str">
        <x:v>Water Head (m)</x:v>
      </x:c>
      <x:c r="U1" s="54" t="str">
        <x:v>Soil Unit Weight (kN/m3)</x:v>
      </x:c>
      <x:c r="V1" s="54" t="str">
        <x:v>K0</x:v>
      </x:c>
      <x:c r="W1" s="54" t="str">
        <x:v>Shield Friction Coefficient</x:v>
      </x:c>
      <x:c r="X1" s="54" t="str">
        <x:v>Shield Length (m)</x:v>
      </x:c>
      <x:c r="Y1" s="54" t="str">
        <x:v>TBM Weight (kN)</x:v>
      </x:c>
      <x:c r="Z1" s="54" t="str">
        <x:v>Backup Weight (kN)</x:v>
      </x:c>
      <x:c r="AA1" s="54" t="str">
        <x:v>Tunnel Slope (deg)</x:v>
      </x:c>
      <x:c r="AB1" s="54" t="str">
        <x:v>Boring Force (kN)</x:v>
      </x:c>
      <x:c r="AC1" s="54" t="str">
        <x:v>Cutterhead Radius (m)</x:v>
      </x:c>
      <x:c r="AD1" s="54" t="str">
        <x:v>Number of Cutters</x:v>
      </x:c>
      <x:c r="AE1" s="54" t="str">
        <x:v>Average Thrust per Cutter (kN)</x:v>
      </x:c>
      <x:c r="AF1" s="54" t="str">
        <x:v>Cutting Coefficient</x:v>
      </x:c>
      <x:c r="AG1" s="54" t="str">
        <x:v>Cutterhead RPM</x:v>
      </x:c>
      <x:c r="AH1" s="56" t="str">
        <x:v>UCS (MPa)</x:v>
      </x:c>
      <x:c r="AI1" s="56" t="str">
        <x:v>RQD (%)</x:v>
      </x:c>
      <x:c r="AJ1" s="56" t="str">
        <x:v>RMR</x:v>
      </x:c>
      <x:c r="AK1" s="56" t="str">
        <x:v>Water Inflow per 10 m (L/min)</x:v>
      </x:c>
      <x:c r="AL1" s="56" t="str">
        <x:v>CAI</x:v>
      </x:c>
      <x:c r="AM1" s="61" t="str">
        <x:v>Backup Friction Coefficient</x:v>
      </x:c>
      <x:c r="AN1" s="61" t="str">
        <x:v>Penetration / Cutting Force (kN)</x:v>
      </x:c>
      <x:c r="AO1" s="61" t="str">
        <x:v>Pipe / Lining Friction Force (kN)</x:v>
      </x:c>
      <x:c r="AP1" s="61" t="str">
        <x:v>Rock Tensile Strength (MPa)</x:v>
      </x:c>
      <x:c r="AQ1" s="61" t="str">
        <x:v>Cutter Spacing (m)</x:v>
      </x:c>
      <x:c r="AR1" s="61" t="str">
        <x:v>Disc Cutter Radius (m)</x:v>
      </x:c>
      <x:c r="AS1" s="61" t="str">
        <x:v>Cutter Tip Width (m)</x:v>
      </x:c>
      <x:c r="AT1" s="61" t="str">
        <x:v>Penetration per Revolution (m)</x:v>
      </x:c>
      <x:c r="AU1" s="61" t="str">
        <x:v>CSM Constant</x:v>
      </x:c>
      <x:c r="AV1" s="61" t="str">
        <x:v>Average Cutter Radial Position (m)</x:v>
      </x:c>
      <x:c r="AW1" s="67" t="str">
        <x:v>Ground Material</x:v>
      </x:c>
      <x:c r="AX1" s="67" t="str">
        <x:v>Undrained Shear Strength (kPa)</x:v>
      </x:c>
      <x:c r="AY1" s="67" t="str">
        <x:v>Chamber Support Pressure (kPa)</x:v>
      </x:c>
      <x:c r="BA1" s="80" t="str">
        <x:v>Pipe Friction Coefficient</x:v>
      </x:c>
      <x:c r="BB1" s="80" t="str">
        <x:v>Pipe Outer Diameter (m)</x:v>
      </x:c>
      <x:c r="BC1" s="80" t="str">
        <x:v>Pipe Length (m)</x:v>
      </x:c>
      <x:c r="BD1" s="80" t="str">
        <x:v>Pipe Weight per Metre (kN/m)</x:v>
      </x:c>
    </x:row>
    <x:row r="2" ht="24" customHeight="1">
      <x:c r="A2" s="34">
        <x:v>200</x:v>
      </x:c>
      <x:c r="B2" s="34">
        <x:v>0</x:v>
      </x:c>
      <x:c r="C2" s="34" t="n">
        <x:f>B2</x:f>
        <x:v>0</x:v>
      </x:c>
      <x:c r="D2" s="43" t="n">
        <x:f>C2/$C$20</x:f>
        <x:v>0</x:v>
      </x:c>
      <x:c r="E2" s="43" t="n">
        <x:f>1-D2</x:f>
        <x:v>1</x:v>
      </x:c>
      <x:c r="F2" s="34"/>
      <x:c r="G2" s="44"/>
      <x:c r="H2" s="34">
        <x:v>30.38</x:v>
      </x:c>
      <x:c r="I2" s="34">
        <x:v>11.76</x:v>
      </x:c>
      <x:c r="J2" s="34"/>
      <x:c r="K2" s="46"/>
      <x:c r="L2" s="46"/>
      <x:c r="M2" s="46"/>
      <x:c r="N2" s="46"/>
      <x:c r="O2" s="46"/>
      <x:c r="P2" s="46"/>
      <x:c r="Q2" s="23"/>
      <x:c r="R2" s="49" t="n">
        <x:v>0.32</x:v>
      </x:c>
      <x:c r="S2" s="49" t="n">
        <x:v>1</x:v>
      </x:c>
      <x:c r="T2" s="49" t="n">
        <x:v>0</x:v>
      </x:c>
      <x:c r="U2" s="49" t="n">
        <x:v>17.265600000000003</x:v>
      </x:c>
      <x:c r="V2" s="49" t="n">
        <x:v>0.6173165676349102</x:v>
      </x:c>
      <x:c r="W2" s="49" t="n">
        <x:v>0.25</x:v>
      </x:c>
      <x:c r="X2" s="49" t="n">
        <x:v>1.2</x:v>
      </x:c>
      <x:c r="Y2" s="49" t="n">
        <x:v>2.943</x:v>
      </x:c>
      <x:c r="Z2" s="49" t="n">
        <x:v>0</x:v>
      </x:c>
      <x:c r="AA2" s="49" t="n">
        <x:v>0</x:v>
      </x:c>
      <x:c r="AB2" s="49"/>
      <x:c r="AC2" s="49" t="n">
        <x:v>0.16</x:v>
      </x:c>
      <x:c r="AD2" s="49"/>
      <x:c r="AE2" s="49"/>
      <x:c r="AF2" s="49"/>
      <x:c r="AG2" s="49"/>
      <x:c r="AH2" s="24"/>
      <x:c r="AI2" s="24"/>
      <x:c r="AJ2" s="24"/>
      <x:c r="AK2" s="34"/>
      <x:c r="AL2" s="34"/>
      <x:c r="AM2" s="62" t="n">
        <x:v>0.1</x:v>
      </x:c>
      <x:c r="AN2" s="62"/>
      <x:c r="AO2" s="62"/>
      <x:c r="AP2" s="62"/>
      <x:c r="AQ2" s="62"/>
      <x:c r="AR2" s="62"/>
      <x:c r="AS2" s="62"/>
      <x:c r="AT2" s="62"/>
      <x:c r="AU2" s="62"/>
      <x:c r="AV2" s="62"/>
      <x:c r="AW2" s="62" t="str">
        <x:v>Clay</x:v>
      </x:c>
      <x:c r="AX2" s="62" t="n">
        <x:v>25</x:v>
      </x:c>
      <x:c r="AY2" s="62" t="n">
        <x:v>0</x:v>
      </x:c>
      <x:c r="BA2" s="62" t="n">
        <x:v>0.25</x:v>
      </x:c>
      <x:c r="BB2" s="62" t="n">
        <x:v>0.32</x:v>
      </x:c>
      <x:c r="BC2" s="62" t="n">
        <x:v>1</x:v>
      </x:c>
      <x:c r="BD2" s="62" t="n">
        <x:v>0.981</x:v>
      </x:c>
    </x:row>
    <x:row r="3" ht="24" customHeight="1">
      <x:c r="A3" s="34">
        <x:v>75</x:v>
      </x:c>
      <x:c r="B3" s="34">
        <x:v>0</x:v>
      </x:c>
      <x:c r="C3" s="34" t="n">
        <x:f>C2+B3</x:f>
        <x:v>0</x:v>
      </x:c>
      <x:c r="D3" s="43" t="n">
        <x:f t="shared" ref="D3:D20" si="0">C3/$C$20</x:f>
        <x:v>0</x:v>
      </x:c>
      <x:c r="E3" s="43" t="n">
        <x:f t="shared" ref="E3:E19" si="1">1-D3</x:f>
        <x:v>1</x:v>
      </x:c>
      <x:c r="F3" s="34"/>
      <x:c r="G3" s="44"/>
      <x:c r="H3" s="34"/>
      <x:c r="I3" s="34"/>
      <x:c r="J3" s="34"/>
      <x:c r="K3" s="47"/>
      <x:c r="L3" s="47"/>
      <x:c r="M3" s="48"/>
      <x:c r="N3" s="47"/>
      <x:c r="O3" s="48"/>
      <x:c r="P3" s="48"/>
      <x:c r="Q3" s="23"/>
      <x:c r="R3" s="50"/>
      <x:c r="S3" s="50"/>
      <x:c r="T3" s="50"/>
      <x:c r="U3" s="50"/>
      <x:c r="V3" s="50"/>
      <x:c r="W3" s="50"/>
      <x:c r="X3" s="50"/>
      <x:c r="Y3" s="50"/>
      <x:c r="Z3" s="50"/>
      <x:c r="AA3" s="50"/>
      <x:c r="AB3" s="50"/>
      <x:c r="AC3" s="50"/>
      <x:c r="AD3" s="50"/>
      <x:c r="AE3" s="50"/>
      <x:c r="AF3" s="50"/>
      <x:c r="AG3" s="50"/>
      <x:c r="AH3" s="27"/>
      <x:c r="AI3" s="27"/>
      <x:c r="AJ3" s="27"/>
      <x:c r="AK3" s="34"/>
      <x:c r="AL3" s="34"/>
    </x:row>
    <x:row r="4" ht="72" customHeight="1">
      <x:c r="A4">
        <x:v>63</x:v>
      </x:c>
      <x:c r="B4">
        <x:v>0</x:v>
      </x:c>
      <x:c r="C4" t="n">
        <x:f t="shared" ref="C4:C19" si="2">C3+B4</x:f>
        <x:v>0</x:v>
      </x:c>
      <x:c r="D4" s="1">
        <x:f t="shared" si="0"/>
        <x:v>0</x:v>
      </x:c>
      <x:c r="E4" s="2">
        <x:f t="shared" si="1"/>
        <x:v>1</x:v>
      </x:c>
      <x:c r="G4" s="3"/>
      <x:c r="R4" s="75" t="str">
        <x:v>MBEST example based on student hand-calculation values: D=0.32 m, depth=1 m, wet-clay density=1760 kg/m³, soil friction angle=22.5° (Ka=1−sinφ≈0.617), shield friction coefficient=0.25, shield length=1.2 m, TBM mass=300 kg, undrained shear strength=25 kPa, and lining friction=6.3165 kN for the 1 m example. Water head, chamber support pressure, cutter count and RPM were not specified in the hand calculation and are left zero/blank.</x:v>
      </x:c>
      <x:c r="S4" s="75"/>
      <x:c r="T4" s="75"/>
      <x:c r="U4" s="75"/>
      <x:c r="V4" s="75"/>
      <x:c r="W4" s="75"/>
      <x:c r="X4" s="75"/>
      <x:c r="Y4" s="75"/>
      <x:c r="Z4" s="75"/>
      <x:c r="AA4" s="75"/>
      <x:c r="AB4" s="75"/>
      <x:c r="AC4" s="75"/>
      <x:c r="AD4" s="75"/>
      <x:c r="AE4" s="75"/>
      <x:c r="AF4" s="75"/>
      <x:c r="AG4" s="75"/>
      <x:c r="AH4" s="75"/>
      <x:c r="AI4" s="75"/>
      <x:c r="AJ4" s="75"/>
      <x:c r="AK4" s="75"/>
      <x:c r="AL4" s="75"/>
      <x:c r="AM4" s="75"/>
      <x:c r="AN4" s="75"/>
      <x:c r="AO4" s="75"/>
      <x:c r="AP4" s="75"/>
      <x:c r="AQ4" s="75"/>
      <x:c r="AR4" s="75"/>
      <x:c r="AS4" s="75"/>
      <x:c r="AT4" s="75"/>
      <x:c r="AU4" s="75"/>
      <x:c r="AV4" s="75"/>
      <x:c r="AW4" s="75"/>
      <x:c r="AX4" s="75"/>
      <x:c r="AY4" s="75"/>
    </x:row>
    <x:row r="5">
      <x:c r="A5">
        <x:v>37.5</x:v>
      </x:c>
      <x:c r="B5">
        <x:v>0</x:v>
      </x:c>
      <x:c r="C5">
        <x:f t="shared" si="2"/>
        <x:v>0</x:v>
      </x:c>
      <x:c r="D5" s="1">
        <x:f t="shared" si="0"/>
        <x:v>0</x:v>
      </x:c>
      <x:c r="E5" s="2">
        <x:f t="shared" si="1"/>
        <x:v>1</x:v>
      </x:c>
      <x:c r="G5" s="3"/>
    </x:row>
    <x:row r="6">
      <x:c r="A6">
        <x:v>26.5</x:v>
      </x:c>
      <x:c r="B6">
        <x:v>0</x:v>
      </x:c>
      <x:c r="C6">
        <x:f t="shared" si="2"/>
        <x:v>0</x:v>
      </x:c>
      <x:c r="D6" s="1">
        <x:f t="shared" si="0"/>
        <x:v>0</x:v>
      </x:c>
      <x:c r="E6" s="2">
        <x:f t="shared" si="1"/>
        <x:v>1</x:v>
      </x:c>
      <x:c r="G6" s="3"/>
    </x:row>
    <x:row r="7">
      <x:c r="A7">
        <x:v>19</x:v>
      </x:c>
      <x:c r="B7">
        <x:v>1</x:v>
      </x:c>
      <x:c r="C7">
        <x:f t="shared" si="2"/>
        <x:v>1</x:v>
      </x:c>
      <x:c r="D7" s="1">
        <x:f t="shared" si="0"/>
        <x:v>2.0584602717167557E-3</x:v>
      </x:c>
      <x:c r="E7" s="2">
        <x:f t="shared" si="1"/>
        <x:v>0.99794153972828326</x:v>
      </x:c>
      <x:c r="G7" s="3"/>
    </x:row>
    <x:row r="8">
      <x:c r="A8">
        <x:v>13.2</x:v>
      </x:c>
      <x:c r="B8">
        <x:v>1.7</x:v>
      </x:c>
      <x:c r="C8">
        <x:f t="shared" si="2"/>
        <x:v>2.7</x:v>
      </x:c>
      <x:c r="D8" s="1">
        <x:f t="shared" si="0"/>
        <x:v>5.5578427336352414E-3</x:v>
      </x:c>
      <x:c r="E8" s="2">
        <x:f t="shared" si="1"/>
        <x:v>0.99444215726636476</x:v>
      </x:c>
      <x:c r="G8" s="3"/>
    </x:row>
    <x:row r="9">
      <x:c r="A9">
        <x:v>9.5</x:v>
      </x:c>
      <x:c r="B9">
        <x:v>2.5</x:v>
      </x:c>
      <x:c r="C9">
        <x:f t="shared" si="2"/>
        <x:v>5.2</x:v>
      </x:c>
      <x:c r="D9" s="1">
        <x:f t="shared" si="0"/>
        <x:v>1.070399341292713E-2</x:v>
      </x:c>
      <x:c r="E9" s="2">
        <x:f t="shared" si="1"/>
        <x:v>0.98929600658707284</x:v>
      </x:c>
      <x:c r="G9" s="3"/>
    </x:row>
    <x:row r="10">
      <x:c r="A10">
        <x:v>6.7</x:v>
      </x:c>
      <x:c r="B10">
        <x:v>4.3</x:v>
      </x:c>
      <x:c r="C10">
        <x:f t="shared" si="2"/>
        <x:v>9.5</x:v>
      </x:c>
      <x:c r="D10" s="1">
        <x:f t="shared" si="0"/>
        <x:v>1.9555372581309179E-2</x:v>
      </x:c>
      <x:c r="E10" s="2">
        <x:f t="shared" si="1"/>
        <x:v>0.98044462741869087</x:v>
      </x:c>
      <x:c r="G10" s="3"/>
    </x:row>
    <x:row r="11">
      <x:c r="A11">
        <x:v>4.75</x:v>
      </x:c>
      <x:c r="B11">
        <x:v>5.2</x:v>
      </x:c>
      <x:c r="C11">
        <x:f t="shared" si="2"/>
        <x:v>14.7</x:v>
      </x:c>
      <x:c r="D11" s="1">
        <x:f t="shared" si="0"/>
        <x:v>3.0259365994236308E-2</x:v>
      </x:c>
      <x:c r="E11" s="2">
        <x:f t="shared" si="1"/>
        <x:v>0.96974063400576371</x:v>
      </x:c>
      <x:c r="G11" s="3"/>
      <x:c r="H11" s="2"/>
    </x:row>
    <x:row r="12">
      <x:c r="A12">
        <x:v>2.36</x:v>
      </x:c>
      <x:c r="B12">
        <x:v>6.8</x:v>
      </x:c>
      <x:c r="C12">
        <x:f t="shared" si="2"/>
        <x:v>21.5</x:v>
      </x:c>
      <x:c r="D12" s="1">
        <x:f t="shared" si="0"/>
        <x:v>4.4256895841910247E-2</x:v>
      </x:c>
      <x:c r="E12" s="2">
        <x:f t="shared" si="1"/>
        <x:v>0.95574310415808972</x:v>
      </x:c>
      <x:c r="G12" s="3"/>
    </x:row>
    <x:row r="13">
      <x:c r="A13">
        <x:v>1.18</x:v>
      </x:c>
      <x:c r="B13">
        <x:v>7.9</x:v>
      </x:c>
      <x:c r="C13">
        <x:f t="shared" si="2"/>
        <x:v>29.4</x:v>
      </x:c>
      <x:c r="D13" s="4">
        <x:f t="shared" si="0"/>
        <x:v>6.0518731988472615E-2</x:v>
      </x:c>
      <x:c r="E13" s="2">
        <x:f t="shared" si="1"/>
        <x:v>0.93948126801152743</x:v>
      </x:c>
      <x:c r="G13" s="3"/>
    </x:row>
    <x:row r="14">
      <x:c r="A14">
        <x:v>0.6</x:v>
      </x:c>
      <x:c r="B14">
        <x:v>8.8000000000000007</x:v>
      </x:c>
      <x:c r="C14">
        <x:f t="shared" si="2"/>
        <x:v>38.200000000000003</x:v>
      </x:c>
      <x:c r="D14" s="4">
        <x:f t="shared" si="0"/>
        <x:v>7.8633182379580072E-2</x:v>
      </x:c>
      <x:c r="E14" s="2">
        <x:f t="shared" si="1"/>
        <x:v>0.92136681762041994</x:v>
      </x:c>
      <x:c r="G14" s="3"/>
    </x:row>
    <x:row r="15">
      <x:c r="A15">
        <x:v>0.4</x:v>
      </x:c>
      <x:c r="B15">
        <x:v>9.4</x:v>
      </x:c>
      <x:c r="C15">
        <x:f t="shared" si="2"/>
        <x:v>47.6</x:v>
      </x:c>
      <x:c r="D15" s="4">
        <x:f t="shared" si="0"/>
        <x:v>9.7982708933717577E-2</x:v>
      </x:c>
      <x:c r="E15" s="2">
        <x:f t="shared" si="1"/>
        <x:v>0.90201729106628248</x:v>
      </x:c>
      <x:c r="F15" s="5"/>
      <x:c r="G15" s="3"/>
    </x:row>
    <x:row r="16">
      <x:c r="A16">
        <x:v>0.3</x:v>
      </x:c>
      <x:c r="B16">
        <x:v>10.199999999999999</x:v>
      </x:c>
      <x:c r="C16">
        <x:f t="shared" si="2"/>
        <x:v>57.8</x:v>
      </x:c>
      <x:c r="D16" s="4">
        <x:f t="shared" si="0"/>
        <x:v>0.11897900370522849</x:v>
      </x:c>
      <x:c r="E16" s="2">
        <x:f t="shared" si="1"/>
        <x:v>0.88102099629477149</x:v>
      </x:c>
      <x:c r="F16" s="6"/>
      <x:c r="G16" s="3"/>
    </x:row>
    <x:row r="17">
      <x:c r="A17">
        <x:v>0.21199999999999999</x:v>
      </x:c>
      <x:c r="B17">
        <x:v>12</x:v>
      </x:c>
      <x:c r="C17">
        <x:f t="shared" si="2"/>
        <x:v>69.8</x:v>
      </x:c>
      <x:c r="D17" s="4">
        <x:f t="shared" si="0"/>
        <x:v>0.14368052696582956</x:v>
      </x:c>
      <x:c r="E17" s="2">
        <x:f t="shared" si="1"/>
        <x:v>0.85631947303417044</x:v>
      </x:c>
      <x:c r="G17" s="3"/>
    </x:row>
    <x:row r="18">
      <x:c r="A18">
        <x:v>0.15</x:v>
      </x:c>
      <x:c r="B18">
        <x:v>27</x:v>
      </x:c>
      <x:c r="C18">
        <x:f t="shared" si="2"/>
        <x:v>96.8</x:v>
      </x:c>
      <x:c r="D18" s="4" t="n">
        <x:f>C18/$C$20</x:f>
        <x:v>0.19925895430218196</x:v>
      </x:c>
      <x:c r="E18" s="2">
        <x:f t="shared" si="1"/>
        <x:v>0.80074104569781801</x:v>
      </x:c>
      <x:c r="G18" s="3"/>
    </x:row>
    <x:row r="19">
      <x:c r="A19">
        <x:v>7.4999999999999997E-2</x:v>
      </x:c>
      <x:c r="B19">
        <x:v>60</x:v>
      </x:c>
      <x:c r="C19">
        <x:f t="shared" si="2"/>
        <x:v>156.80000000000001</x:v>
      </x:c>
      <x:c r="D19" s="4">
        <x:f t="shared" si="0"/>
        <x:v>0.32276657060518732</x:v>
      </x:c>
      <x:c r="E19" s="2">
        <x:f t="shared" si="1"/>
        <x:v>0.67723342939481268</x:v>
      </x:c>
      <x:c r="G19" s="3"/>
    </x:row>
    <x:row r="20">
      <x:c r="A20" t="n">
        <x:v>0.01</x:v>
      </x:c>
      <x:c r="B20" t="n">
        <x:v>329</x:v>
      </x:c>
      <x:c r="C20" t="n">
        <x:f t="shared" ref="C20" si="3">C19+B20</x:f>
        <x:v>485.8</x:v>
      </x:c>
      <x:c r="D20" s="4" t="n">
        <x:f t="shared" si="0"/>
        <x:v>1</x:v>
      </x:c>
      <x:c r="E20" s="2" t="n">
        <x:f t="shared" ref="E20" si="4">1-D20</x:f>
        <x:v>0</x:v>
      </x:c>
    </x:row>
  </x:sheetData>
  <x:mergeCells>
    <x:mergeCell ref="R4:AY4"/>
  </x:mergeCells>
  <x:dataValidations count="1">
    <x:dataValidation type="list" sqref="O2">
      <x:formula1>"none,little,fair,high"</x:formula1>
    </x:dataValidation>
  </x:dataValidations>
  <x:pageMargins left="0.7" right="0.7" top="0.75" bottom="0.75" header="0.3" footer="0.3"/>
</x:worksheet>
</file>